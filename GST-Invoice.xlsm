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650" windowWidth="14805" windowHeight="6465"/>
  </bookViews>
  <sheets>
    <sheet name="Sheet1" sheetId="1" r:id="rId1"/>
    <sheet name="Sheet2" sheetId="2" r:id="rId2"/>
    <sheet name="Sheet3" sheetId="3" r:id="rId3"/>
  </sheets>
  <functionGroups builtInGroupCount="17"/>
  <externalReferences>
    <externalReference r:id="rId4"/>
  </externalReferences>
  <definedNames>
    <definedName name="CGST">Sheet2!$D$8:$D$17</definedName>
    <definedName name="GST">Sheet2!$D$8:$D$16</definedName>
    <definedName name="_xlnm.Print_Area" localSheetId="0">Sheet1!$A$1:$M$55</definedName>
    <definedName name="_xlnm.Print_Titles" localSheetId="0">Sheet1!$1:$7</definedName>
  </definedNames>
  <calcPr calcId="145621"/>
</workbook>
</file>

<file path=xl/calcChain.xml><?xml version="1.0" encoding="utf-8"?>
<calcChain xmlns="http://schemas.openxmlformats.org/spreadsheetml/2006/main">
  <c r="F22" i="1" l="1"/>
  <c r="B47" i="1"/>
  <c r="F18" i="1" l="1"/>
  <c r="H18" i="1" s="1"/>
  <c r="F43" i="1" l="1"/>
  <c r="F19" i="1" l="1"/>
  <c r="F27" i="1" l="1"/>
  <c r="F28" i="1"/>
  <c r="F37" i="1" l="1"/>
  <c r="F38" i="1"/>
  <c r="F36" i="1"/>
  <c r="F41" i="1"/>
  <c r="F40" i="1"/>
  <c r="F39" i="1"/>
  <c r="F35" i="1"/>
  <c r="F34" i="1"/>
  <c r="F33" i="1"/>
  <c r="F32" i="1"/>
  <c r="F31" i="1"/>
  <c r="F30" i="1"/>
  <c r="F29" i="1"/>
  <c r="F26" i="1"/>
  <c r="F20" i="1"/>
  <c r="F21" i="1"/>
  <c r="F23" i="1"/>
  <c r="F24" i="1"/>
  <c r="F25" i="1"/>
  <c r="H33" i="1" l="1"/>
  <c r="J18" i="1" l="1"/>
  <c r="H24" i="1" l="1"/>
  <c r="J24" i="1" s="1"/>
  <c r="H25" i="1"/>
  <c r="J25" i="1" s="1"/>
  <c r="L18" i="1" l="1"/>
  <c r="H32" i="1" l="1"/>
  <c r="B4" i="2"/>
  <c r="J32" i="1" l="1"/>
  <c r="L32" i="1"/>
  <c r="L24" i="1"/>
  <c r="F44" i="1"/>
  <c r="H44" i="1" s="1"/>
  <c r="H43" i="1"/>
  <c r="F42" i="1"/>
  <c r="H42" i="1" s="1"/>
  <c r="H41" i="1"/>
  <c r="H40" i="1"/>
  <c r="H39" i="1"/>
  <c r="H38" i="1"/>
  <c r="H37" i="1"/>
  <c r="H36" i="1"/>
  <c r="H35" i="1"/>
  <c r="H34" i="1"/>
  <c r="H31" i="1"/>
  <c r="H30" i="1"/>
  <c r="H29" i="1"/>
  <c r="H28" i="1"/>
  <c r="H27" i="1"/>
  <c r="H26" i="1"/>
  <c r="H23" i="1"/>
  <c r="J23" i="1" s="1"/>
  <c r="H22" i="1"/>
  <c r="J22" i="1" s="1"/>
  <c r="H21" i="1"/>
  <c r="J21" i="1" s="1"/>
  <c r="H20" i="1"/>
  <c r="J20" i="1" s="1"/>
  <c r="H19" i="1"/>
  <c r="J40" i="1" l="1"/>
  <c r="L40" i="1"/>
  <c r="L44" i="1"/>
  <c r="J44" i="1"/>
  <c r="L41" i="1"/>
  <c r="J41" i="1"/>
  <c r="L38" i="1"/>
  <c r="J38" i="1"/>
  <c r="L42" i="1"/>
  <c r="J42" i="1"/>
  <c r="L39" i="1"/>
  <c r="J39" i="1"/>
  <c r="L43" i="1"/>
  <c r="J43" i="1"/>
  <c r="L19" i="1"/>
  <c r="J19" i="1"/>
  <c r="J29" i="1"/>
  <c r="L29" i="1"/>
  <c r="J37" i="1"/>
  <c r="L37" i="1"/>
  <c r="J36" i="1"/>
  <c r="L36" i="1"/>
  <c r="J34" i="1"/>
  <c r="L34" i="1"/>
  <c r="J35" i="1"/>
  <c r="L35" i="1"/>
  <c r="J33" i="1"/>
  <c r="L33" i="1"/>
  <c r="J31" i="1"/>
  <c r="L31" i="1"/>
  <c r="J30" i="1"/>
  <c r="L30" i="1"/>
  <c r="J28" i="1"/>
  <c r="L28" i="1"/>
  <c r="L26" i="1"/>
  <c r="J26" i="1"/>
  <c r="L22" i="1"/>
  <c r="L27" i="1"/>
  <c r="J27" i="1"/>
  <c r="L23" i="1"/>
  <c r="L25" i="1"/>
  <c r="L21" i="1"/>
  <c r="L20" i="1"/>
  <c r="H45" i="1"/>
  <c r="K47" i="1" s="1"/>
  <c r="F45" i="1"/>
  <c r="J45" i="1" l="1"/>
  <c r="K48" i="1" s="1"/>
  <c r="L45" i="1"/>
  <c r="K49" i="1" s="1"/>
  <c r="K50" i="1" l="1"/>
  <c r="K51" i="1" s="1"/>
  <c r="K52" i="1" s="1"/>
  <c r="B48" i="1"/>
  <c r="K53" i="1" l="1"/>
</calcChain>
</file>

<file path=xl/sharedStrings.xml><?xml version="1.0" encoding="utf-8"?>
<sst xmlns="http://schemas.openxmlformats.org/spreadsheetml/2006/main" count="36" uniqueCount="34">
  <si>
    <t>Qty</t>
  </si>
  <si>
    <t>Rate</t>
  </si>
  <si>
    <t>IGST
 %</t>
  </si>
  <si>
    <t>IGST
 Amt.</t>
  </si>
  <si>
    <t>TOTAL</t>
  </si>
  <si>
    <t>(in Rupees)</t>
  </si>
  <si>
    <t>Grand Total</t>
  </si>
  <si>
    <t>Total Amt Before Tax</t>
  </si>
  <si>
    <t>ADD:IGST</t>
  </si>
  <si>
    <t>HSN
 Code</t>
  </si>
  <si>
    <t>Description</t>
  </si>
  <si>
    <t>Authorised Signatory</t>
  </si>
  <si>
    <t xml:space="preserve">
 Amount</t>
  </si>
  <si>
    <t>Disc%</t>
  </si>
  <si>
    <t>Gross Amt.</t>
  </si>
  <si>
    <t>GST</t>
  </si>
  <si>
    <t>ADD:GST</t>
  </si>
  <si>
    <t>Amount (in words):</t>
  </si>
  <si>
    <t>GST
 Amt.</t>
  </si>
  <si>
    <t>Total Amt:GST</t>
  </si>
  <si>
    <t>Round-Off</t>
  </si>
  <si>
    <t xml:space="preserve"> </t>
  </si>
  <si>
    <t xml:space="preserve">    </t>
  </si>
  <si>
    <t xml:space="preserve"> No.</t>
  </si>
  <si>
    <t xml:space="preserve"> Date</t>
  </si>
  <si>
    <t>Company Name</t>
  </si>
  <si>
    <t>Address line1</t>
  </si>
  <si>
    <t>Address line2</t>
  </si>
  <si>
    <t>GSTIN NO.</t>
  </si>
  <si>
    <t>MOBILE NO.</t>
  </si>
  <si>
    <t>Tax Invoice</t>
  </si>
  <si>
    <t>1.1.2020</t>
  </si>
  <si>
    <t xml:space="preserve">Enq No.  </t>
  </si>
  <si>
    <t>Date:     01.01.2020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</si>
</sst>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[$₹-44A]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b/>
      <sz val="20"/>
      <color rgb="FF0070C0"/>
      <name val="Times New Roman"/>
      <family val="1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20">
    <xf numFmtId="0" fontId="0" fillId="0" borderId="0" xfId="0"/>
    <xf numFmtId="9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14" xfId="0" applyBorder="1"/>
    <xf numFmtId="0" fontId="0" fillId="0" borderId="15" xfId="0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6" xfId="0" applyNumberFormat="1" applyBorder="1"/>
    <xf numFmtId="2" fontId="0" fillId="0" borderId="1" xfId="0" applyNumberFormat="1" applyBorder="1"/>
    <xf numFmtId="0" fontId="0" fillId="0" borderId="10" xfId="0" applyBorder="1"/>
    <xf numFmtId="0" fontId="3" fillId="0" borderId="10" xfId="0" applyFont="1" applyBorder="1"/>
    <xf numFmtId="0" fontId="0" fillId="0" borderId="0" xfId="0" applyBorder="1"/>
    <xf numFmtId="0" fontId="0" fillId="0" borderId="6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0" xfId="0" applyFont="1" applyBorder="1"/>
    <xf numFmtId="0" fontId="0" fillId="0" borderId="0" xfId="0" applyBorder="1"/>
    <xf numFmtId="14" fontId="4" fillId="0" borderId="0" xfId="0" applyNumberFormat="1" applyFont="1" applyBorder="1"/>
    <xf numFmtId="0" fontId="0" fillId="0" borderId="12" xfId="0" applyBorder="1" applyAlignment="1">
      <alignment wrapText="1"/>
    </xf>
    <xf numFmtId="9" fontId="0" fillId="0" borderId="5" xfId="1" applyFont="1" applyBorder="1"/>
    <xf numFmtId="9" fontId="0" fillId="0" borderId="14" xfId="1" applyFont="1" applyBorder="1"/>
    <xf numFmtId="0" fontId="5" fillId="0" borderId="5" xfId="2" applyBorder="1"/>
    <xf numFmtId="0" fontId="6" fillId="0" borderId="5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>
      <alignment horizontal="center"/>
    </xf>
    <xf numFmtId="12" fontId="0" fillId="0" borderId="14" xfId="1" applyNumberFormat="1" applyFont="1" applyBorder="1"/>
    <xf numFmtId="12" fontId="0" fillId="0" borderId="15" xfId="1" applyNumberFormat="1" applyFont="1" applyBorder="1"/>
    <xf numFmtId="0" fontId="4" fillId="0" borderId="0" xfId="0" applyFont="1" applyBorder="1" applyAlignment="1">
      <alignment horizontal="right"/>
    </xf>
    <xf numFmtId="14" fontId="0" fillId="0" borderId="0" xfId="0" applyNumberFormat="1" applyBorder="1"/>
    <xf numFmtId="0" fontId="4" fillId="0" borderId="0" xfId="0" applyNumberFormat="1" applyFont="1" applyBorder="1"/>
    <xf numFmtId="0" fontId="0" fillId="0" borderId="5" xfId="0" applyBorder="1"/>
    <xf numFmtId="0" fontId="4" fillId="0" borderId="3" xfId="0" applyFont="1" applyBorder="1" applyAlignment="1">
      <alignment horizontal="left"/>
    </xf>
    <xf numFmtId="0" fontId="4" fillId="0" borderId="5" xfId="0" applyFont="1" applyBorder="1" applyAlignment="1">
      <alignment horizontal="right"/>
    </xf>
    <xf numFmtId="2" fontId="0" fillId="0" borderId="0" xfId="0" applyNumberFormat="1" applyBorder="1"/>
    <xf numFmtId="0" fontId="0" fillId="0" borderId="13" xfId="0" applyBorder="1" applyAlignment="1">
      <alignment horizontal="center" vertical="center" wrapText="1"/>
    </xf>
    <xf numFmtId="9" fontId="0" fillId="0" borderId="13" xfId="1" applyFont="1" applyBorder="1"/>
    <xf numFmtId="9" fontId="0" fillId="0" borderId="14" xfId="1" applyFont="1" applyBorder="1" applyAlignment="1">
      <alignment vertical="top" wrapText="1"/>
    </xf>
    <xf numFmtId="9" fontId="0" fillId="0" borderId="14" xfId="0" applyNumberFormat="1" applyBorder="1"/>
    <xf numFmtId="9" fontId="0" fillId="0" borderId="7" xfId="1" applyFont="1" applyBorder="1"/>
    <xf numFmtId="0" fontId="0" fillId="0" borderId="5" xfId="0" applyBorder="1"/>
    <xf numFmtId="1" fontId="0" fillId="0" borderId="13" xfId="1" applyNumberFormat="1" applyFont="1" applyBorder="1"/>
    <xf numFmtId="1" fontId="0" fillId="0" borderId="14" xfId="1" applyNumberFormat="1" applyFont="1" applyBorder="1"/>
    <xf numFmtId="1" fontId="0" fillId="0" borderId="6" xfId="1" applyNumberFormat="1" applyFont="1" applyBorder="1"/>
    <xf numFmtId="0" fontId="0" fillId="0" borderId="5" xfId="0" applyBorder="1"/>
    <xf numFmtId="0" fontId="0" fillId="0" borderId="5" xfId="0" applyBorder="1"/>
    <xf numFmtId="0" fontId="0" fillId="0" borderId="14" xfId="0" applyFill="1" applyBorder="1"/>
    <xf numFmtId="0" fontId="4" fillId="0" borderId="1" xfId="0" applyFont="1" applyBorder="1" applyAlignment="1">
      <alignment horizont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5" xfId="0" applyFill="1" applyBorder="1"/>
    <xf numFmtId="0" fontId="0" fillId="0" borderId="4" xfId="0" applyBorder="1" applyAlignment="1">
      <alignment vertical="center"/>
    </xf>
    <xf numFmtId="0" fontId="0" fillId="0" borderId="5" xfId="0" applyBorder="1"/>
    <xf numFmtId="0" fontId="0" fillId="0" borderId="6" xfId="0" applyBorder="1"/>
    <xf numFmtId="4" fontId="0" fillId="0" borderId="13" xfId="0" applyNumberFormat="1" applyBorder="1" applyAlignment="1">
      <alignment vertical="center"/>
    </xf>
    <xf numFmtId="4" fontId="0" fillId="0" borderId="14" xfId="0" applyNumberFormat="1" applyBorder="1" applyAlignment="1">
      <alignment vertical="center"/>
    </xf>
    <xf numFmtId="0" fontId="0" fillId="3" borderId="14" xfId="0" applyNumberFormat="1" applyFont="1" applyFill="1" applyBorder="1"/>
    <xf numFmtId="0" fontId="0" fillId="0" borderId="5" xfId="0" applyBorder="1"/>
    <xf numFmtId="0" fontId="0" fillId="0" borderId="5" xfId="0" applyBorder="1"/>
    <xf numFmtId="0" fontId="10" fillId="0" borderId="5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6" xfId="0" applyBorder="1" applyAlignment="1">
      <alignment vertical="top"/>
    </xf>
    <xf numFmtId="0" fontId="0" fillId="0" borderId="14" xfId="0" quotePrefix="1" applyBorder="1"/>
    <xf numFmtId="0" fontId="0" fillId="2" borderId="13" xfId="0" applyFill="1" applyBorder="1" applyAlignment="1">
      <alignment wrapText="1"/>
    </xf>
    <xf numFmtId="0" fontId="0" fillId="0" borderId="14" xfId="0" applyFont="1" applyBorder="1"/>
    <xf numFmtId="4" fontId="0" fillId="0" borderId="0" xfId="0" applyNumberFormat="1"/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5" fontId="4" fillId="0" borderId="0" xfId="0" applyNumberFormat="1" applyFont="1" applyBorder="1"/>
    <xf numFmtId="165" fontId="4" fillId="0" borderId="6" xfId="0" applyNumberFormat="1" applyFont="1" applyBorder="1"/>
    <xf numFmtId="0" fontId="4" fillId="0" borderId="5" xfId="0" applyFont="1" applyBorder="1" applyAlignment="1"/>
    <xf numFmtId="0" fontId="4" fillId="0" borderId="0" xfId="0" applyFont="1" applyBorder="1" applyAlignment="1"/>
    <xf numFmtId="0" fontId="4" fillId="0" borderId="5" xfId="0" applyFont="1" applyBorder="1"/>
    <xf numFmtId="0" fontId="4" fillId="0" borderId="0" xfId="0" applyFont="1" applyBorder="1"/>
    <xf numFmtId="0" fontId="4" fillId="0" borderId="5" xfId="0" applyFont="1" applyFill="1" applyBorder="1"/>
    <xf numFmtId="0" fontId="4" fillId="0" borderId="0" xfId="0" applyFont="1" applyFill="1" applyBorder="1"/>
    <xf numFmtId="0" fontId="4" fillId="0" borderId="7" xfId="0" applyFont="1" applyBorder="1"/>
    <xf numFmtId="0" fontId="4" fillId="0" borderId="8" xfId="0" applyFont="1" applyBorder="1"/>
    <xf numFmtId="165" fontId="4" fillId="0" borderId="8" xfId="0" applyNumberFormat="1" applyFont="1" applyBorder="1"/>
    <xf numFmtId="165" fontId="4" fillId="0" borderId="9" xfId="0" applyNumberFormat="1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9" fillId="0" borderId="2" xfId="0" applyFont="1" applyBorder="1" applyAlignment="1">
      <alignment horizontal="left" vertical="center" indent="21"/>
    </xf>
    <xf numFmtId="0" fontId="10" fillId="0" borderId="3" xfId="0" applyFont="1" applyBorder="1" applyAlignment="1">
      <alignment horizontal="left" vertical="center" indent="21"/>
    </xf>
    <xf numFmtId="0" fontId="10" fillId="0" borderId="4" xfId="0" applyFont="1" applyBorder="1" applyAlignment="1">
      <alignment horizontal="left" vertical="center" indent="21"/>
    </xf>
    <xf numFmtId="14" fontId="4" fillId="0" borderId="8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 indent="4"/>
    </xf>
    <xf numFmtId="0" fontId="2" fillId="0" borderId="0" xfId="0" applyFont="1" applyBorder="1" applyAlignment="1">
      <alignment horizontal="left" indent="7"/>
    </xf>
    <xf numFmtId="0" fontId="11" fillId="0" borderId="0" xfId="0" applyFont="1" applyBorder="1" applyAlignment="1">
      <alignment horizontal="left" indent="6"/>
    </xf>
    <xf numFmtId="0" fontId="9" fillId="0" borderId="7" xfId="0" applyFont="1" applyBorder="1" applyAlignment="1">
      <alignment horizontal="left" vertical="center" indent="25"/>
    </xf>
    <xf numFmtId="0" fontId="10" fillId="0" borderId="8" xfId="0" applyFont="1" applyBorder="1" applyAlignment="1">
      <alignment horizontal="left" vertical="center" indent="25"/>
    </xf>
    <xf numFmtId="0" fontId="10" fillId="0" borderId="9" xfId="0" applyFont="1" applyBorder="1" applyAlignment="1">
      <alignment horizontal="left" vertical="center" indent="25"/>
    </xf>
    <xf numFmtId="165" fontId="4" fillId="0" borderId="3" xfId="0" applyNumberFormat="1" applyFont="1" applyBorder="1"/>
    <xf numFmtId="165" fontId="4" fillId="0" borderId="4" xfId="0" applyNumberFormat="1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48</xdr:row>
      <xdr:rowOff>47625</xdr:rowOff>
    </xdr:from>
    <xdr:to>
      <xdr:col>2</xdr:col>
      <xdr:colOff>85725</xdr:colOff>
      <xdr:row>52</xdr:row>
      <xdr:rowOff>171450</xdr:rowOff>
    </xdr:to>
    <xdr:sp macro="" textlink="">
      <xdr:nvSpPr>
        <xdr:cNvPr id="11" name="TextBox 10"/>
        <xdr:cNvSpPr txBox="1"/>
      </xdr:nvSpPr>
      <xdr:spPr>
        <a:xfrm>
          <a:off x="609600" y="9220200"/>
          <a:ext cx="2105025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Bank Details</a:t>
          </a:r>
          <a:endParaRPr lang="en-US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2</xdr:col>
      <xdr:colOff>200025</xdr:colOff>
      <xdr:row>49</xdr:row>
      <xdr:rowOff>28575</xdr:rowOff>
    </xdr:from>
    <xdr:to>
      <xdr:col>5</xdr:col>
      <xdr:colOff>628650</xdr:colOff>
      <xdr:row>52</xdr:row>
      <xdr:rowOff>161926</xdr:rowOff>
    </xdr:to>
    <xdr:sp macro="" textlink="">
      <xdr:nvSpPr>
        <xdr:cNvPr id="12" name="TextBox 11"/>
        <xdr:cNvSpPr txBox="1"/>
      </xdr:nvSpPr>
      <xdr:spPr>
        <a:xfrm>
          <a:off x="2924175" y="9601200"/>
          <a:ext cx="1781175" cy="704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</xdr:colOff>
          <xdr:row>1</xdr:row>
          <xdr:rowOff>85725</xdr:rowOff>
        </xdr:from>
        <xdr:to>
          <xdr:col>27</xdr:col>
          <xdr:colOff>276225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Copies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133350</xdr:colOff>
          <xdr:row>3</xdr:row>
          <xdr:rowOff>114300</xdr:rowOff>
        </xdr:from>
        <xdr:to>
          <xdr:col>27</xdr:col>
          <xdr:colOff>66675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10</xdr:row>
      <xdr:rowOff>19050</xdr:rowOff>
    </xdr:from>
    <xdr:to>
      <xdr:col>11</xdr:col>
      <xdr:colOff>552450</xdr:colOff>
      <xdr:row>15</xdr:row>
      <xdr:rowOff>152400</xdr:rowOff>
    </xdr:to>
    <xdr:sp macro="" textlink="">
      <xdr:nvSpPr>
        <xdr:cNvPr id="2" name="TextBox 1"/>
        <xdr:cNvSpPr txBox="1"/>
      </xdr:nvSpPr>
      <xdr:spPr>
        <a:xfrm>
          <a:off x="533400" y="2143125"/>
          <a:ext cx="7162800" cy="108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AppData/Roaming/Microsoft/AddIns/my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yaddin"/>
    </sheetNames>
    <definedNames>
      <definedName name="rup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A56"/>
  <sheetViews>
    <sheetView showGridLines="0" tabSelected="1" topLeftCell="A30" zoomScaleNormal="100" workbookViewId="0">
      <selection activeCell="B47" sqref="B47:H47"/>
    </sheetView>
  </sheetViews>
  <sheetFormatPr defaultRowHeight="15" x14ac:dyDescent="0.25"/>
  <cols>
    <col min="1" max="1" width="8" customWidth="1"/>
    <col min="2" max="2" width="31.42578125" customWidth="1"/>
    <col min="3" max="3" width="6" customWidth="1"/>
    <col min="4" max="4" width="4.28515625" customWidth="1"/>
    <col min="5" max="5" width="10" customWidth="1"/>
    <col min="6" max="6" width="10.140625" customWidth="1"/>
    <col min="7" max="7" width="6.42578125" customWidth="1"/>
    <col min="8" max="8" width="9.5703125" customWidth="1"/>
    <col min="9" max="9" width="5.85546875" customWidth="1"/>
    <col min="10" max="10" width="9.140625" customWidth="1"/>
    <col min="11" max="11" width="6.28515625" customWidth="1"/>
    <col min="12" max="12" width="8.7109375" customWidth="1"/>
    <col min="13" max="13" width="8" customWidth="1"/>
  </cols>
  <sheetData>
    <row r="1" spans="1:27" ht="26.25" customHeight="1" x14ac:dyDescent="0.25">
      <c r="A1" s="19"/>
      <c r="B1" s="105" t="s">
        <v>25</v>
      </c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9"/>
    </row>
    <row r="2" spans="1:27" x14ac:dyDescent="0.25">
      <c r="A2" s="19"/>
      <c r="B2" s="67"/>
      <c r="C2" s="109" t="s">
        <v>26</v>
      </c>
      <c r="D2" s="109"/>
      <c r="E2" s="109"/>
      <c r="F2" s="109"/>
      <c r="G2" s="109"/>
      <c r="H2" s="109"/>
      <c r="I2" s="109"/>
      <c r="J2" s="109"/>
      <c r="K2" s="68"/>
      <c r="L2" s="69"/>
      <c r="M2" s="19"/>
    </row>
    <row r="3" spans="1:27" x14ac:dyDescent="0.25">
      <c r="A3" s="19"/>
      <c r="B3" s="67"/>
      <c r="C3" s="109" t="s">
        <v>27</v>
      </c>
      <c r="D3" s="109"/>
      <c r="E3" s="109"/>
      <c r="F3" s="109"/>
      <c r="G3" s="109"/>
      <c r="H3" s="109"/>
      <c r="I3" s="109"/>
      <c r="J3" s="109"/>
      <c r="K3" s="68"/>
      <c r="L3" s="69"/>
      <c r="M3" s="19"/>
    </row>
    <row r="4" spans="1:27" x14ac:dyDescent="0.25">
      <c r="A4" s="19"/>
      <c r="B4" s="21"/>
      <c r="C4" s="110" t="s">
        <v>29</v>
      </c>
      <c r="D4" s="110"/>
      <c r="E4" s="110"/>
      <c r="F4" s="110"/>
      <c r="G4" s="110"/>
      <c r="H4" s="110"/>
      <c r="I4" s="110"/>
      <c r="J4" s="110"/>
      <c r="K4" s="22"/>
      <c r="L4" s="4"/>
      <c r="M4" s="19"/>
    </row>
    <row r="5" spans="1:27" x14ac:dyDescent="0.25">
      <c r="A5" s="19"/>
      <c r="B5" s="21"/>
      <c r="C5" s="111" t="s">
        <v>28</v>
      </c>
      <c r="D5" s="111"/>
      <c r="E5" s="111"/>
      <c r="F5" s="111"/>
      <c r="G5" s="111"/>
      <c r="H5" s="111"/>
      <c r="I5" s="111"/>
      <c r="J5" s="111"/>
      <c r="K5" s="22"/>
      <c r="L5" s="4"/>
      <c r="M5" s="19"/>
    </row>
    <row r="6" spans="1:27" ht="10.5" customHeight="1" x14ac:dyDescent="0.25">
      <c r="A6" s="19"/>
      <c r="B6" s="6"/>
      <c r="C6" s="7"/>
      <c r="D6" s="7"/>
      <c r="E6" s="7"/>
      <c r="F6" s="7"/>
      <c r="G6" s="7"/>
      <c r="H6" s="7"/>
      <c r="I6" s="7"/>
      <c r="J6" s="7"/>
      <c r="K6" s="7"/>
      <c r="L6" s="8"/>
      <c r="M6" s="19"/>
    </row>
    <row r="7" spans="1:27" ht="25.5" x14ac:dyDescent="0.25">
      <c r="A7" s="19"/>
      <c r="B7" s="112" t="s">
        <v>30</v>
      </c>
      <c r="C7" s="113"/>
      <c r="D7" s="113"/>
      <c r="E7" s="113"/>
      <c r="F7" s="113"/>
      <c r="G7" s="113"/>
      <c r="H7" s="113"/>
      <c r="I7" s="113"/>
      <c r="J7" s="113"/>
      <c r="K7" s="113"/>
      <c r="L7" s="114"/>
      <c r="M7" s="19"/>
    </row>
    <row r="8" spans="1:27" x14ac:dyDescent="0.25">
      <c r="A8" s="19"/>
      <c r="B8" s="41" t="s">
        <v>23</v>
      </c>
      <c r="C8" s="40">
        <v>1</v>
      </c>
      <c r="D8" s="24"/>
      <c r="E8" s="38"/>
      <c r="F8" s="38"/>
      <c r="G8" s="26"/>
      <c r="H8" s="26" t="s">
        <v>32</v>
      </c>
      <c r="I8" s="24"/>
      <c r="J8" s="36"/>
      <c r="K8" s="19"/>
      <c r="L8" s="20"/>
      <c r="M8" s="19"/>
    </row>
    <row r="9" spans="1:27" x14ac:dyDescent="0.25">
      <c r="A9" s="19"/>
      <c r="B9" s="41" t="s">
        <v>24</v>
      </c>
      <c r="C9" s="108" t="s">
        <v>31</v>
      </c>
      <c r="D9" s="108"/>
      <c r="E9" s="24"/>
      <c r="F9" s="26"/>
      <c r="G9" s="26"/>
      <c r="H9" s="26" t="s">
        <v>33</v>
      </c>
      <c r="I9" s="26"/>
      <c r="J9" s="24"/>
      <c r="K9" s="37"/>
      <c r="L9" s="20"/>
      <c r="M9" s="19"/>
    </row>
    <row r="10" spans="1:27" x14ac:dyDescent="0.25">
      <c r="A10" s="19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9"/>
      <c r="M10" s="19"/>
    </row>
    <row r="11" spans="1:27" x14ac:dyDescent="0.25">
      <c r="A11" s="19"/>
      <c r="B11" s="94"/>
      <c r="C11" s="95"/>
      <c r="D11" s="95"/>
      <c r="E11" s="95"/>
      <c r="F11" s="95"/>
      <c r="G11" s="95"/>
      <c r="H11" s="95"/>
      <c r="I11" s="95"/>
      <c r="J11" s="95"/>
      <c r="K11" s="95"/>
      <c r="L11" s="96"/>
      <c r="M11" s="19"/>
      <c r="AA11" t="s">
        <v>21</v>
      </c>
    </row>
    <row r="12" spans="1:27" x14ac:dyDescent="0.25">
      <c r="A12" s="19"/>
      <c r="B12" s="78"/>
      <c r="C12" s="80"/>
      <c r="D12" s="80"/>
      <c r="E12" s="80"/>
      <c r="F12" s="80"/>
      <c r="G12" s="80"/>
      <c r="H12" s="80"/>
      <c r="I12" s="80"/>
      <c r="J12" s="80"/>
      <c r="K12" s="80"/>
      <c r="L12" s="97"/>
      <c r="M12" s="19"/>
      <c r="T12" t="s">
        <v>22</v>
      </c>
    </row>
    <row r="13" spans="1:27" x14ac:dyDescent="0.25">
      <c r="A13" s="19"/>
      <c r="B13" s="78"/>
      <c r="C13" s="80"/>
      <c r="D13" s="80"/>
      <c r="E13" s="80"/>
      <c r="F13" s="80"/>
      <c r="G13" s="80"/>
      <c r="H13" s="80"/>
      <c r="I13" s="80"/>
      <c r="J13" s="80"/>
      <c r="K13" s="80"/>
      <c r="L13" s="97"/>
      <c r="M13" s="19"/>
    </row>
    <row r="14" spans="1:27" x14ac:dyDescent="0.25">
      <c r="A14" s="19"/>
      <c r="B14" s="78"/>
      <c r="C14" s="80"/>
      <c r="D14" s="80"/>
      <c r="E14" s="80"/>
      <c r="F14" s="80"/>
      <c r="G14" s="80"/>
      <c r="H14" s="80"/>
      <c r="I14" s="80"/>
      <c r="J14" s="80"/>
      <c r="K14" s="80"/>
      <c r="L14" s="97"/>
      <c r="M14" s="19"/>
    </row>
    <row r="15" spans="1:27" x14ac:dyDescent="0.25">
      <c r="A15" s="19"/>
      <c r="B15" s="78"/>
      <c r="C15" s="80"/>
      <c r="D15" s="80"/>
      <c r="E15" s="80"/>
      <c r="F15" s="80"/>
      <c r="G15" s="80"/>
      <c r="H15" s="80"/>
      <c r="I15" s="80"/>
      <c r="J15" s="80"/>
      <c r="K15" s="80"/>
      <c r="L15" s="97"/>
      <c r="M15" s="19"/>
    </row>
    <row r="16" spans="1:27" x14ac:dyDescent="0.25">
      <c r="A16" s="19"/>
      <c r="B16" s="79"/>
      <c r="C16" s="81"/>
      <c r="D16" s="81"/>
      <c r="E16" s="81"/>
      <c r="F16" s="81"/>
      <c r="G16" s="81"/>
      <c r="H16" s="81"/>
      <c r="I16" s="81"/>
      <c r="J16" s="81"/>
      <c r="K16" s="81"/>
      <c r="L16" s="98"/>
      <c r="M16" s="19"/>
    </row>
    <row r="17" spans="1:23" ht="30" x14ac:dyDescent="0.25">
      <c r="A17" s="19"/>
      <c r="B17" s="55" t="s">
        <v>10</v>
      </c>
      <c r="C17" s="9" t="s">
        <v>9</v>
      </c>
      <c r="D17" s="10" t="s">
        <v>0</v>
      </c>
      <c r="E17" s="10" t="s">
        <v>1</v>
      </c>
      <c r="F17" s="9" t="s">
        <v>12</v>
      </c>
      <c r="G17" s="9" t="s">
        <v>13</v>
      </c>
      <c r="H17" s="9" t="s">
        <v>14</v>
      </c>
      <c r="I17" s="43" t="s">
        <v>15</v>
      </c>
      <c r="J17" s="9" t="s">
        <v>18</v>
      </c>
      <c r="K17" s="9" t="s">
        <v>2</v>
      </c>
      <c r="L17" s="27" t="s">
        <v>3</v>
      </c>
      <c r="M17" s="19"/>
    </row>
    <row r="18" spans="1:23" x14ac:dyDescent="0.25">
      <c r="A18" s="19"/>
      <c r="B18" s="74"/>
      <c r="C18" s="59"/>
      <c r="D18" s="56"/>
      <c r="E18" s="62"/>
      <c r="F18" s="13" t="str">
        <f t="shared" ref="F18:F44" si="0">IF(ISBLANK(E18)," ",D18*E18)</f>
        <v xml:space="preserve"> </v>
      </c>
      <c r="G18" s="49"/>
      <c r="H18" s="13" t="str">
        <f t="shared" ref="H18:H44" si="1">IF(ISBLANK(E18)," ",F18-((F18*G18)/100))</f>
        <v xml:space="preserve"> </v>
      </c>
      <c r="I18" s="44"/>
      <c r="J18" s="42" t="str">
        <f>IF(ISBLANK(I18)," ",IFERROR(H18*I18," "))</f>
        <v xml:space="preserve"> </v>
      </c>
      <c r="K18" s="45"/>
      <c r="L18" s="15" t="str">
        <f t="shared" ref="L18:L44" si="2">IF(ISBLANK(K18)," ",IFERROR(H18*K18," "))</f>
        <v xml:space="preserve"> </v>
      </c>
      <c r="M18" s="19"/>
    </row>
    <row r="19" spans="1:23" x14ac:dyDescent="0.25">
      <c r="A19" s="19"/>
      <c r="B19" s="73"/>
      <c r="C19" s="72"/>
      <c r="D19" s="57"/>
      <c r="E19" s="63"/>
      <c r="F19" s="13" t="str">
        <f t="shared" si="0"/>
        <v xml:space="preserve"> </v>
      </c>
      <c r="G19" s="50"/>
      <c r="H19" s="13" t="str">
        <f t="shared" si="1"/>
        <v xml:space="preserve"> </v>
      </c>
      <c r="I19" s="29"/>
      <c r="J19" s="42" t="str">
        <f t="shared" ref="J19:J44" si="3">IF(ISBLANK(I19)," ",IFERROR(H19*I19," "))</f>
        <v xml:space="preserve"> </v>
      </c>
      <c r="K19" s="45"/>
      <c r="L19" s="15" t="str">
        <f t="shared" si="2"/>
        <v xml:space="preserve"> </v>
      </c>
      <c r="M19" s="19"/>
    </row>
    <row r="20" spans="1:23" x14ac:dyDescent="0.25">
      <c r="A20" s="19"/>
      <c r="B20" s="11"/>
      <c r="C20" s="61"/>
      <c r="D20" s="11"/>
      <c r="E20" s="63"/>
      <c r="F20" s="13" t="str">
        <f t="shared" si="0"/>
        <v xml:space="preserve"> </v>
      </c>
      <c r="G20" s="50"/>
      <c r="H20" s="13" t="str">
        <f t="shared" si="1"/>
        <v xml:space="preserve"> </v>
      </c>
      <c r="I20" s="29"/>
      <c r="J20" s="42" t="str">
        <f t="shared" si="3"/>
        <v xml:space="preserve"> </v>
      </c>
      <c r="K20" s="45"/>
      <c r="L20" s="15" t="str">
        <f t="shared" si="2"/>
        <v xml:space="preserve"> </v>
      </c>
      <c r="M20" s="19"/>
    </row>
    <row r="21" spans="1:23" x14ac:dyDescent="0.25">
      <c r="A21" s="19"/>
      <c r="B21" s="64"/>
      <c r="C21" s="70"/>
      <c r="D21" s="11"/>
      <c r="E21" s="63"/>
      <c r="F21" s="13" t="str">
        <f t="shared" si="0"/>
        <v xml:space="preserve"> </v>
      </c>
      <c r="G21" s="50"/>
      <c r="H21" s="13" t="str">
        <f t="shared" si="1"/>
        <v xml:space="preserve"> </v>
      </c>
      <c r="I21" s="29"/>
      <c r="J21" s="42" t="str">
        <f t="shared" si="3"/>
        <v xml:space="preserve"> </v>
      </c>
      <c r="K21" s="45"/>
      <c r="L21" s="15" t="str">
        <f t="shared" si="2"/>
        <v xml:space="preserve"> </v>
      </c>
      <c r="M21" s="19"/>
    </row>
    <row r="22" spans="1:23" x14ac:dyDescent="0.25">
      <c r="A22" s="19"/>
      <c r="B22" s="75"/>
      <c r="C22" s="70"/>
      <c r="D22" s="11"/>
      <c r="E22" s="63"/>
      <c r="F22" s="13" t="str">
        <f t="shared" si="0"/>
        <v xml:space="preserve"> </v>
      </c>
      <c r="G22" s="50"/>
      <c r="H22" s="13" t="str">
        <f t="shared" si="1"/>
        <v xml:space="preserve"> </v>
      </c>
      <c r="I22" s="29"/>
      <c r="J22" s="42" t="str">
        <f t="shared" si="3"/>
        <v xml:space="preserve"> </v>
      </c>
      <c r="K22" s="45"/>
      <c r="L22" s="15" t="str">
        <f t="shared" si="2"/>
        <v xml:space="preserve"> </v>
      </c>
      <c r="M22" s="19"/>
    </row>
    <row r="23" spans="1:23" x14ac:dyDescent="0.25">
      <c r="A23" s="19"/>
      <c r="B23" s="75"/>
      <c r="C23" s="70"/>
      <c r="D23" s="11"/>
      <c r="E23" s="63"/>
      <c r="F23" s="13" t="str">
        <f t="shared" si="0"/>
        <v xml:space="preserve"> </v>
      </c>
      <c r="G23" s="50"/>
      <c r="H23" s="13" t="str">
        <f t="shared" si="1"/>
        <v xml:space="preserve"> </v>
      </c>
      <c r="I23" s="29"/>
      <c r="J23" s="42" t="str">
        <f t="shared" si="3"/>
        <v xml:space="preserve"> </v>
      </c>
      <c r="K23" s="45"/>
      <c r="L23" s="15" t="str">
        <f t="shared" si="2"/>
        <v xml:space="preserve"> </v>
      </c>
      <c r="M23" s="19"/>
    </row>
    <row r="24" spans="1:23" x14ac:dyDescent="0.25">
      <c r="A24" s="19"/>
      <c r="B24" s="75"/>
      <c r="C24" s="70"/>
      <c r="D24" s="11"/>
      <c r="E24" s="63"/>
      <c r="F24" s="13" t="str">
        <f t="shared" si="0"/>
        <v xml:space="preserve"> </v>
      </c>
      <c r="G24" s="51"/>
      <c r="H24" s="13" t="str">
        <f t="shared" si="1"/>
        <v xml:space="preserve"> </v>
      </c>
      <c r="I24" s="29"/>
      <c r="J24" s="42" t="str">
        <f t="shared" si="3"/>
        <v xml:space="preserve"> </v>
      </c>
      <c r="K24" s="45"/>
      <c r="L24" s="15" t="str">
        <f t="shared" si="2"/>
        <v xml:space="preserve"> </v>
      </c>
      <c r="M24" s="19"/>
    </row>
    <row r="25" spans="1:23" x14ac:dyDescent="0.25">
      <c r="A25" s="19"/>
      <c r="B25" s="75"/>
      <c r="C25" s="70"/>
      <c r="D25" s="11"/>
      <c r="E25" s="63"/>
      <c r="F25" s="13" t="str">
        <f t="shared" si="0"/>
        <v xml:space="preserve"> </v>
      </c>
      <c r="G25" s="51"/>
      <c r="H25" s="13" t="str">
        <f t="shared" si="1"/>
        <v xml:space="preserve"> </v>
      </c>
      <c r="I25" s="29"/>
      <c r="J25" s="42" t="str">
        <f t="shared" si="3"/>
        <v xml:space="preserve"> </v>
      </c>
      <c r="K25" s="45"/>
      <c r="L25" s="15" t="str">
        <f t="shared" si="2"/>
        <v xml:space="preserve"> </v>
      </c>
      <c r="M25" s="19"/>
    </row>
    <row r="26" spans="1:23" x14ac:dyDescent="0.25">
      <c r="A26" s="19"/>
      <c r="B26" s="58"/>
      <c r="C26" s="11"/>
      <c r="D26" s="11"/>
      <c r="E26" s="63"/>
      <c r="F26" s="13" t="str">
        <f>IF(ISBLANK(E26)," ",D26*E26)</f>
        <v xml:space="preserve"> </v>
      </c>
      <c r="G26" s="51"/>
      <c r="H26" s="13" t="str">
        <f t="shared" si="1"/>
        <v xml:space="preserve"> </v>
      </c>
      <c r="I26" s="29"/>
      <c r="J26" s="42" t="str">
        <f t="shared" si="3"/>
        <v xml:space="preserve"> </v>
      </c>
      <c r="K26" s="45"/>
      <c r="L26" s="15" t="str">
        <f t="shared" si="2"/>
        <v xml:space="preserve"> </v>
      </c>
      <c r="M26" s="19"/>
    </row>
    <row r="27" spans="1:23" x14ac:dyDescent="0.25">
      <c r="A27" s="19"/>
      <c r="B27" s="71"/>
      <c r="C27" s="11"/>
      <c r="D27" s="11"/>
      <c r="E27" s="63"/>
      <c r="F27" s="13" t="str">
        <f t="shared" ref="F27:F28" si="4">IF(ISBLANK(E27)," ",D27*E27)</f>
        <v xml:space="preserve"> </v>
      </c>
      <c r="G27" s="51"/>
      <c r="H27" s="13" t="str">
        <f t="shared" si="1"/>
        <v xml:space="preserve"> </v>
      </c>
      <c r="I27" s="29"/>
      <c r="J27" s="42" t="str">
        <f t="shared" si="3"/>
        <v xml:space="preserve"> </v>
      </c>
      <c r="K27" s="45"/>
      <c r="L27" s="15" t="str">
        <f t="shared" si="2"/>
        <v xml:space="preserve"> </v>
      </c>
      <c r="M27" s="19"/>
    </row>
    <row r="28" spans="1:23" x14ac:dyDescent="0.25">
      <c r="A28" s="19"/>
      <c r="B28" s="52"/>
      <c r="C28" s="11"/>
      <c r="D28" s="11"/>
      <c r="E28" s="63"/>
      <c r="F28" s="13" t="str">
        <f t="shared" si="4"/>
        <v xml:space="preserve"> </v>
      </c>
      <c r="G28" s="51"/>
      <c r="H28" s="13" t="str">
        <f t="shared" si="1"/>
        <v xml:space="preserve"> </v>
      </c>
      <c r="I28" s="29"/>
      <c r="J28" s="15" t="str">
        <f t="shared" si="3"/>
        <v xml:space="preserve"> </v>
      </c>
      <c r="K28" s="45"/>
      <c r="L28" s="15" t="str">
        <f t="shared" si="2"/>
        <v xml:space="preserve"> </v>
      </c>
      <c r="M28" s="19"/>
    </row>
    <row r="29" spans="1:23" x14ac:dyDescent="0.25">
      <c r="A29" s="19"/>
      <c r="B29" s="65"/>
      <c r="C29" s="11"/>
      <c r="D29" s="11"/>
      <c r="E29" s="63"/>
      <c r="F29" s="13" t="str">
        <f t="shared" ref="F29:F36" si="5">IF(ISBLANK(E29)," ",D29*E29)</f>
        <v xml:space="preserve"> </v>
      </c>
      <c r="G29" s="51"/>
      <c r="H29" s="13" t="str">
        <f t="shared" si="1"/>
        <v xml:space="preserve"> </v>
      </c>
      <c r="I29" s="29"/>
      <c r="J29" s="15" t="str">
        <f t="shared" si="3"/>
        <v xml:space="preserve"> </v>
      </c>
      <c r="K29" s="45"/>
      <c r="L29" s="15" t="str">
        <f t="shared" si="2"/>
        <v xml:space="preserve"> </v>
      </c>
      <c r="M29" s="19"/>
      <c r="W29" t="s">
        <v>21</v>
      </c>
    </row>
    <row r="30" spans="1:23" x14ac:dyDescent="0.25">
      <c r="A30" s="19"/>
      <c r="B30" s="53"/>
      <c r="C30" s="11"/>
      <c r="D30" s="11"/>
      <c r="E30" s="63"/>
      <c r="F30" s="13" t="str">
        <f t="shared" si="5"/>
        <v xml:space="preserve"> </v>
      </c>
      <c r="G30" s="51"/>
      <c r="H30" s="13" t="str">
        <f t="shared" si="1"/>
        <v xml:space="preserve"> </v>
      </c>
      <c r="I30" s="29"/>
      <c r="J30" s="15" t="str">
        <f t="shared" si="3"/>
        <v xml:space="preserve"> </v>
      </c>
      <c r="K30" s="45"/>
      <c r="L30" s="15" t="str">
        <f t="shared" si="2"/>
        <v xml:space="preserve"> </v>
      </c>
      <c r="M30" s="19"/>
    </row>
    <row r="31" spans="1:23" x14ac:dyDescent="0.25">
      <c r="A31" s="19"/>
      <c r="B31" s="66"/>
      <c r="C31" s="11"/>
      <c r="D31" s="11"/>
      <c r="E31" s="63"/>
      <c r="F31" s="13" t="str">
        <f t="shared" si="5"/>
        <v xml:space="preserve"> </v>
      </c>
      <c r="G31" s="51"/>
      <c r="H31" s="13" t="str">
        <f t="shared" si="1"/>
        <v xml:space="preserve"> </v>
      </c>
      <c r="I31" s="29"/>
      <c r="J31" s="15" t="str">
        <f t="shared" si="3"/>
        <v xml:space="preserve"> </v>
      </c>
      <c r="K31" s="45"/>
      <c r="L31" s="15" t="str">
        <f t="shared" si="2"/>
        <v xml:space="preserve"> </v>
      </c>
      <c r="M31" s="19"/>
    </row>
    <row r="32" spans="1:23" x14ac:dyDescent="0.25">
      <c r="A32" s="19"/>
      <c r="B32" s="48"/>
      <c r="C32" s="11"/>
      <c r="D32" s="54"/>
      <c r="E32" s="63"/>
      <c r="F32" s="13" t="str">
        <f t="shared" si="5"/>
        <v xml:space="preserve"> </v>
      </c>
      <c r="G32" s="51"/>
      <c r="H32" s="13" t="str">
        <f t="shared" si="1"/>
        <v xml:space="preserve"> </v>
      </c>
      <c r="I32" s="29"/>
      <c r="J32" s="15" t="str">
        <f t="shared" si="3"/>
        <v xml:space="preserve"> </v>
      </c>
      <c r="K32" s="45"/>
      <c r="L32" s="15" t="str">
        <f t="shared" si="2"/>
        <v xml:space="preserve"> </v>
      </c>
      <c r="M32" s="19"/>
    </row>
    <row r="33" spans="1:13" x14ac:dyDescent="0.25">
      <c r="A33" s="19"/>
      <c r="B33" s="58"/>
      <c r="C33" s="11"/>
      <c r="D33" s="11"/>
      <c r="E33" s="63"/>
      <c r="F33" s="13" t="str">
        <f t="shared" si="5"/>
        <v xml:space="preserve"> </v>
      </c>
      <c r="G33" s="51"/>
      <c r="H33" s="13" t="str">
        <f t="shared" si="1"/>
        <v xml:space="preserve"> </v>
      </c>
      <c r="I33" s="29"/>
      <c r="J33" s="15" t="str">
        <f t="shared" si="3"/>
        <v xml:space="preserve"> </v>
      </c>
      <c r="K33" s="45"/>
      <c r="L33" s="15" t="str">
        <f t="shared" si="2"/>
        <v xml:space="preserve"> </v>
      </c>
      <c r="M33" s="19"/>
    </row>
    <row r="34" spans="1:13" x14ac:dyDescent="0.25">
      <c r="A34" s="19"/>
      <c r="B34" s="60"/>
      <c r="C34" s="11"/>
      <c r="D34" s="11"/>
      <c r="E34" s="63"/>
      <c r="F34" s="13" t="str">
        <f t="shared" si="5"/>
        <v xml:space="preserve"> </v>
      </c>
      <c r="G34" s="51"/>
      <c r="H34" s="13" t="str">
        <f t="shared" si="1"/>
        <v xml:space="preserve"> </v>
      </c>
      <c r="I34" s="29"/>
      <c r="J34" s="15" t="str">
        <f t="shared" si="3"/>
        <v xml:space="preserve"> </v>
      </c>
      <c r="K34" s="45"/>
      <c r="L34" s="15" t="str">
        <f t="shared" si="2"/>
        <v xml:space="preserve"> </v>
      </c>
      <c r="M34" s="19"/>
    </row>
    <row r="35" spans="1:13" x14ac:dyDescent="0.25">
      <c r="A35" s="19"/>
      <c r="B35" s="48"/>
      <c r="C35" s="11"/>
      <c r="D35" s="11"/>
      <c r="E35" s="63"/>
      <c r="F35" s="13" t="str">
        <f t="shared" si="5"/>
        <v xml:space="preserve"> </v>
      </c>
      <c r="G35" s="51"/>
      <c r="H35" s="13" t="str">
        <f t="shared" si="1"/>
        <v xml:space="preserve"> </v>
      </c>
      <c r="I35" s="29"/>
      <c r="J35" s="15" t="str">
        <f t="shared" si="3"/>
        <v xml:space="preserve"> </v>
      </c>
      <c r="K35" s="45"/>
      <c r="L35" s="15" t="str">
        <f t="shared" si="2"/>
        <v xml:space="preserve"> </v>
      </c>
      <c r="M35" s="19"/>
    </row>
    <row r="36" spans="1:13" x14ac:dyDescent="0.25">
      <c r="A36" s="19"/>
      <c r="B36" s="48"/>
      <c r="C36" s="11"/>
      <c r="D36" s="11"/>
      <c r="E36" s="63"/>
      <c r="F36" s="13" t="str">
        <f t="shared" si="5"/>
        <v xml:space="preserve"> </v>
      </c>
      <c r="G36" s="51"/>
      <c r="H36" s="13" t="str">
        <f t="shared" si="1"/>
        <v xml:space="preserve"> </v>
      </c>
      <c r="I36" s="29"/>
      <c r="J36" s="15" t="str">
        <f t="shared" si="3"/>
        <v xml:space="preserve"> </v>
      </c>
      <c r="K36" s="45"/>
      <c r="L36" s="15" t="str">
        <f t="shared" si="2"/>
        <v xml:space="preserve"> </v>
      </c>
      <c r="M36" s="19"/>
    </row>
    <row r="37" spans="1:13" x14ac:dyDescent="0.25">
      <c r="A37" s="19"/>
      <c r="B37" s="11"/>
      <c r="C37" s="11"/>
      <c r="D37" s="54"/>
      <c r="E37" s="63"/>
      <c r="F37" s="13" t="str">
        <f t="shared" ref="F37:F38" si="6">IF(ISBLANK(E37)," ",D37*E37)</f>
        <v xml:space="preserve"> </v>
      </c>
      <c r="G37" s="51"/>
      <c r="H37" s="13" t="str">
        <f t="shared" si="1"/>
        <v xml:space="preserve"> </v>
      </c>
      <c r="I37" s="29"/>
      <c r="J37" s="15" t="str">
        <f t="shared" si="3"/>
        <v xml:space="preserve"> </v>
      </c>
      <c r="K37" s="45"/>
      <c r="L37" s="15" t="str">
        <f t="shared" si="2"/>
        <v xml:space="preserve"> </v>
      </c>
      <c r="M37" s="19"/>
    </row>
    <row r="38" spans="1:13" x14ac:dyDescent="0.25">
      <c r="A38" s="19"/>
      <c r="B38" s="53"/>
      <c r="C38" s="11"/>
      <c r="D38" s="11"/>
      <c r="E38" s="63"/>
      <c r="F38" s="13" t="str">
        <f t="shared" si="6"/>
        <v xml:space="preserve"> </v>
      </c>
      <c r="G38" s="51"/>
      <c r="H38" s="13" t="str">
        <f t="shared" si="1"/>
        <v xml:space="preserve"> </v>
      </c>
      <c r="I38" s="28"/>
      <c r="J38" s="13" t="str">
        <f t="shared" si="3"/>
        <v xml:space="preserve"> </v>
      </c>
      <c r="K38" s="46"/>
      <c r="L38" s="15" t="str">
        <f t="shared" si="2"/>
        <v xml:space="preserve"> </v>
      </c>
      <c r="M38" s="19"/>
    </row>
    <row r="39" spans="1:13" x14ac:dyDescent="0.25">
      <c r="A39" s="19"/>
      <c r="B39" s="48"/>
      <c r="C39" s="11"/>
      <c r="D39" s="11"/>
      <c r="E39" s="63"/>
      <c r="F39" s="13" t="str">
        <f>IF(ISBLANK(E39)," ",D39*E39)</f>
        <v xml:space="preserve"> </v>
      </c>
      <c r="G39" s="50"/>
      <c r="H39" s="13" t="str">
        <f t="shared" si="1"/>
        <v xml:space="preserve"> </v>
      </c>
      <c r="I39" s="28"/>
      <c r="J39" s="13" t="str">
        <f t="shared" si="3"/>
        <v xml:space="preserve"> </v>
      </c>
      <c r="K39" s="46"/>
      <c r="L39" s="15" t="str">
        <f t="shared" si="2"/>
        <v xml:space="preserve"> </v>
      </c>
      <c r="M39" s="19"/>
    </row>
    <row r="40" spans="1:13" x14ac:dyDescent="0.25">
      <c r="A40" s="19"/>
      <c r="B40" s="53"/>
      <c r="C40" s="11"/>
      <c r="D40" s="11"/>
      <c r="E40" s="63"/>
      <c r="F40" s="13" t="str">
        <f>IF(ISBLANK(E40)," ",D40*E40)</f>
        <v xml:space="preserve"> </v>
      </c>
      <c r="G40" s="50"/>
      <c r="H40" s="13" t="str">
        <f t="shared" si="1"/>
        <v xml:space="preserve"> </v>
      </c>
      <c r="I40" s="28"/>
      <c r="J40" s="13" t="str">
        <f t="shared" si="3"/>
        <v xml:space="preserve"> </v>
      </c>
      <c r="K40" s="46"/>
      <c r="L40" s="15" t="str">
        <f t="shared" si="2"/>
        <v xml:space="preserve"> </v>
      </c>
      <c r="M40" s="19"/>
    </row>
    <row r="41" spans="1:13" x14ac:dyDescent="0.25">
      <c r="A41" s="19"/>
      <c r="B41" s="53"/>
      <c r="C41" s="11"/>
      <c r="D41" s="11"/>
      <c r="E41" s="63"/>
      <c r="F41" s="13" t="str">
        <f>IF(ISBLANK(E41)," ",D41*E41)</f>
        <v xml:space="preserve"> </v>
      </c>
      <c r="G41" s="34"/>
      <c r="H41" s="13" t="str">
        <f t="shared" si="1"/>
        <v xml:space="preserve"> </v>
      </c>
      <c r="I41" s="28"/>
      <c r="J41" s="13" t="str">
        <f t="shared" si="3"/>
        <v xml:space="preserve"> </v>
      </c>
      <c r="K41" s="46"/>
      <c r="L41" s="15" t="str">
        <f t="shared" si="2"/>
        <v xml:space="preserve"> </v>
      </c>
      <c r="M41" s="19"/>
    </row>
    <row r="42" spans="1:13" x14ac:dyDescent="0.25">
      <c r="A42" s="19"/>
      <c r="B42" s="39"/>
      <c r="C42" s="11"/>
      <c r="D42" s="11"/>
      <c r="E42" s="63"/>
      <c r="F42" s="13" t="str">
        <f t="shared" si="0"/>
        <v xml:space="preserve"> </v>
      </c>
      <c r="G42" s="34"/>
      <c r="H42" s="13" t="str">
        <f t="shared" si="1"/>
        <v xml:space="preserve"> </v>
      </c>
      <c r="I42" s="28"/>
      <c r="J42" s="13" t="str">
        <f t="shared" si="3"/>
        <v xml:space="preserve"> </v>
      </c>
      <c r="K42" s="46"/>
      <c r="L42" s="15" t="str">
        <f t="shared" si="2"/>
        <v xml:space="preserve"> </v>
      </c>
      <c r="M42" s="19"/>
    </row>
    <row r="43" spans="1:13" x14ac:dyDescent="0.25">
      <c r="A43" s="19"/>
      <c r="B43" s="39"/>
      <c r="C43" s="11"/>
      <c r="D43" s="11"/>
      <c r="E43" s="63"/>
      <c r="F43" s="13" t="str">
        <f t="shared" si="0"/>
        <v xml:space="preserve"> </v>
      </c>
      <c r="G43" s="34"/>
      <c r="H43" s="13" t="str">
        <f t="shared" si="1"/>
        <v xml:space="preserve"> </v>
      </c>
      <c r="I43" s="28"/>
      <c r="J43" s="13" t="str">
        <f t="shared" si="3"/>
        <v xml:space="preserve"> </v>
      </c>
      <c r="K43" s="46"/>
      <c r="L43" s="15" t="str">
        <f t="shared" si="2"/>
        <v xml:space="preserve"> </v>
      </c>
      <c r="M43" s="19"/>
    </row>
    <row r="44" spans="1:13" x14ac:dyDescent="0.25">
      <c r="A44" s="19"/>
      <c r="B44" s="39"/>
      <c r="C44" s="11"/>
      <c r="D44" s="12"/>
      <c r="E44" s="63"/>
      <c r="F44" s="14" t="str">
        <f t="shared" si="0"/>
        <v xml:space="preserve"> </v>
      </c>
      <c r="G44" s="35"/>
      <c r="H44" s="13" t="str">
        <f t="shared" si="1"/>
        <v xml:space="preserve"> </v>
      </c>
      <c r="I44" s="47"/>
      <c r="J44" s="13" t="str">
        <f t="shared" si="3"/>
        <v xml:space="preserve"> </v>
      </c>
      <c r="K44" s="46"/>
      <c r="L44" s="15" t="str">
        <f t="shared" si="2"/>
        <v xml:space="preserve"> </v>
      </c>
      <c r="M44" s="19"/>
    </row>
    <row r="45" spans="1:13" x14ac:dyDescent="0.25">
      <c r="A45" s="19"/>
      <c r="B45" s="17" t="s">
        <v>17</v>
      </c>
      <c r="C45" s="18" t="s">
        <v>4</v>
      </c>
      <c r="D45" s="99" t="s">
        <v>5</v>
      </c>
      <c r="E45" s="100"/>
      <c r="F45" s="16">
        <f>SUM(F18:F44)</f>
        <v>0</v>
      </c>
      <c r="G45" s="16"/>
      <c r="H45" s="16">
        <f>SUM(H18:H44)</f>
        <v>0</v>
      </c>
      <c r="I45" s="10"/>
      <c r="J45" s="16">
        <f>SUM(J18:J44)</f>
        <v>0</v>
      </c>
      <c r="K45" s="10"/>
      <c r="L45" s="16">
        <f>SUM(L18:L44)</f>
        <v>0</v>
      </c>
      <c r="M45" s="19"/>
    </row>
    <row r="46" spans="1:13" ht="16.5" hidden="1" customHeight="1" thickTop="1" thickBot="1" x14ac:dyDescent="0.3">
      <c r="A46" s="19"/>
      <c r="B46" s="30"/>
      <c r="C46" s="19"/>
      <c r="D46" s="19"/>
      <c r="E46" s="19"/>
      <c r="F46" s="19"/>
      <c r="G46" s="19"/>
      <c r="H46" s="19"/>
      <c r="I46" s="19"/>
      <c r="J46" s="19"/>
      <c r="K46" s="19"/>
      <c r="L46" s="20"/>
      <c r="M46" s="19"/>
    </row>
    <row r="47" spans="1:13" x14ac:dyDescent="0.25">
      <c r="A47" s="19"/>
      <c r="B47" s="103">
        <f>rup(K53)</f>
        <v>0</v>
      </c>
      <c r="C47" s="77"/>
      <c r="D47" s="77"/>
      <c r="E47" s="77"/>
      <c r="F47" s="77"/>
      <c r="G47" s="77"/>
      <c r="H47" s="104"/>
      <c r="I47" s="101" t="s">
        <v>7</v>
      </c>
      <c r="J47" s="102"/>
      <c r="K47" s="115">
        <f>H45</f>
        <v>0</v>
      </c>
      <c r="L47" s="116"/>
      <c r="M47" s="19"/>
    </row>
    <row r="48" spans="1:13" ht="15" hidden="1" customHeight="1" x14ac:dyDescent="0.25">
      <c r="A48" s="19"/>
      <c r="B48" s="31" t="e">
        <f ca="1">[1]!rup(K52)</f>
        <v>#NAME?</v>
      </c>
      <c r="C48" s="32"/>
      <c r="D48" s="32"/>
      <c r="E48" s="32"/>
      <c r="F48" s="32"/>
      <c r="G48" s="33"/>
      <c r="H48" s="33"/>
      <c r="I48" s="84" t="s">
        <v>16</v>
      </c>
      <c r="J48" s="85"/>
      <c r="K48" s="82">
        <f>J45</f>
        <v>0</v>
      </c>
      <c r="L48" s="83"/>
      <c r="M48" s="19"/>
    </row>
    <row r="49" spans="1:13" x14ac:dyDescent="0.25">
      <c r="A49" s="19"/>
      <c r="B49" s="78"/>
      <c r="C49" s="19"/>
      <c r="D49" s="77" t="s">
        <v>11</v>
      </c>
      <c r="E49" s="77"/>
      <c r="F49" s="77"/>
      <c r="G49" s="25"/>
      <c r="H49" s="19"/>
      <c r="I49" s="86" t="s">
        <v>8</v>
      </c>
      <c r="J49" s="87"/>
      <c r="K49" s="82">
        <f>L45</f>
        <v>0</v>
      </c>
      <c r="L49" s="83"/>
      <c r="M49" s="19"/>
    </row>
    <row r="50" spans="1:13" x14ac:dyDescent="0.25">
      <c r="A50" s="19"/>
      <c r="B50" s="78"/>
      <c r="C50" s="19"/>
      <c r="D50" s="77"/>
      <c r="E50" s="77"/>
      <c r="F50" s="77"/>
      <c r="G50" s="19"/>
      <c r="H50" s="19"/>
      <c r="I50" s="86" t="s">
        <v>16</v>
      </c>
      <c r="J50" s="87"/>
      <c r="K50" s="82">
        <f>J45</f>
        <v>0</v>
      </c>
      <c r="L50" s="83"/>
      <c r="M50" s="19"/>
    </row>
    <row r="51" spans="1:13" x14ac:dyDescent="0.25">
      <c r="A51" s="19"/>
      <c r="B51" s="78"/>
      <c r="C51" s="19"/>
      <c r="D51" s="80"/>
      <c r="E51" s="80"/>
      <c r="F51" s="80"/>
      <c r="G51" s="22"/>
      <c r="H51" s="22"/>
      <c r="I51" s="88" t="s">
        <v>19</v>
      </c>
      <c r="J51" s="89"/>
      <c r="K51" s="82">
        <f>SUM(K49,K50)</f>
        <v>0</v>
      </c>
      <c r="L51" s="83"/>
      <c r="M51" s="19"/>
    </row>
    <row r="52" spans="1:13" x14ac:dyDescent="0.25">
      <c r="A52" s="19"/>
      <c r="B52" s="78"/>
      <c r="C52" s="19"/>
      <c r="D52" s="80"/>
      <c r="E52" s="80"/>
      <c r="F52" s="80"/>
      <c r="G52" s="22"/>
      <c r="H52" s="22"/>
      <c r="I52" s="88" t="s">
        <v>6</v>
      </c>
      <c r="J52" s="89"/>
      <c r="K52" s="82">
        <f>SUM(K47,K51)</f>
        <v>0</v>
      </c>
      <c r="L52" s="83"/>
      <c r="M52" s="19"/>
    </row>
    <row r="53" spans="1:13" x14ac:dyDescent="0.25">
      <c r="A53" s="19"/>
      <c r="B53" s="79"/>
      <c r="C53" s="5"/>
      <c r="D53" s="81"/>
      <c r="E53" s="81"/>
      <c r="F53" s="81"/>
      <c r="G53" s="23"/>
      <c r="H53" s="23"/>
      <c r="I53" s="90" t="s">
        <v>20</v>
      </c>
      <c r="J53" s="91"/>
      <c r="K53" s="92">
        <f>ROUND(K52,0)</f>
        <v>0</v>
      </c>
      <c r="L53" s="93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L56" s="76"/>
    </row>
  </sheetData>
  <dataConsolidate/>
  <mergeCells count="29">
    <mergeCell ref="B11:L16"/>
    <mergeCell ref="D45:E45"/>
    <mergeCell ref="I47:J47"/>
    <mergeCell ref="B47:H47"/>
    <mergeCell ref="B1:L1"/>
    <mergeCell ref="C9:D9"/>
    <mergeCell ref="C2:J2"/>
    <mergeCell ref="C3:J3"/>
    <mergeCell ref="C4:J4"/>
    <mergeCell ref="C5:J5"/>
    <mergeCell ref="B7:L7"/>
    <mergeCell ref="K47:L47"/>
    <mergeCell ref="B10:L10"/>
    <mergeCell ref="D50:F50"/>
    <mergeCell ref="B49:B53"/>
    <mergeCell ref="D49:F49"/>
    <mergeCell ref="D51:F53"/>
    <mergeCell ref="K48:L48"/>
    <mergeCell ref="K49:L49"/>
    <mergeCell ref="K50:L50"/>
    <mergeCell ref="K51:L51"/>
    <mergeCell ref="K52:L52"/>
    <mergeCell ref="I48:J48"/>
    <mergeCell ref="I49:J49"/>
    <mergeCell ref="I50:J50"/>
    <mergeCell ref="I51:J51"/>
    <mergeCell ref="I53:J53"/>
    <mergeCell ref="K53:L53"/>
    <mergeCell ref="I52:J52"/>
  </mergeCells>
  <dataValidations count="2">
    <dataValidation type="list" allowBlank="1" showInputMessage="1" showErrorMessage="1" sqref="K18:K44">
      <formula1>GST</formula1>
    </dataValidation>
    <dataValidation type="list" allowBlank="1" showInputMessage="1" showErrorMessage="1" sqref="I18:I44">
      <formula1>CGST</formula1>
    </dataValidation>
  </dataValidations>
  <printOptions verticalCentered="1"/>
  <pageMargins left="0" right="0" top="0.75" bottom="0.75" header="0.3" footer="0.3"/>
  <pageSetup paperSize="9" scale="79" orientation="portrait" r:id="rId1"/>
  <headerFooter>
    <oddHeader xml:space="preserve">&amp;C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Numbers">
                <anchor moveWithCells="1">
                  <from>
                    <xdr:col>26</xdr:col>
                    <xdr:colOff>66675</xdr:colOff>
                    <xdr:row>1</xdr:row>
                    <xdr:rowOff>85725</xdr:rowOff>
                  </from>
                  <to>
                    <xdr:col>27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SaveInvWithNewName">
                <anchor moveWithCells="1">
                  <from>
                    <xdr:col>26</xdr:col>
                    <xdr:colOff>133350</xdr:colOff>
                    <xdr:row>3</xdr:row>
                    <xdr:rowOff>114300</xdr:rowOff>
                  </from>
                  <to>
                    <xdr:col>27</xdr:col>
                    <xdr:colOff>66675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7"/>
  <sheetViews>
    <sheetView workbookViewId="0">
      <selection activeCell="D8" sqref="D8:D17"/>
    </sheetView>
  </sheetViews>
  <sheetFormatPr defaultRowHeight="15" x14ac:dyDescent="0.25"/>
  <sheetData>
    <row r="1" spans="1:4" x14ac:dyDescent="0.25">
      <c r="A1">
        <v>5000</v>
      </c>
    </row>
    <row r="4" spans="1:4" x14ac:dyDescent="0.25">
      <c r="B4" t="e">
        <f ca="1">[1]!rup(A1)</f>
        <v>#NAME?</v>
      </c>
    </row>
    <row r="8" spans="1:4" x14ac:dyDescent="0.25">
      <c r="D8">
        <v>0</v>
      </c>
    </row>
    <row r="9" spans="1:4" x14ac:dyDescent="0.25">
      <c r="D9" s="2">
        <v>2.5000000000000001E-2</v>
      </c>
    </row>
    <row r="10" spans="1:4" x14ac:dyDescent="0.25">
      <c r="D10" s="1">
        <v>0.05</v>
      </c>
    </row>
    <row r="11" spans="1:4" x14ac:dyDescent="0.25">
      <c r="D11" s="1">
        <v>0.06</v>
      </c>
    </row>
    <row r="12" spans="1:4" x14ac:dyDescent="0.25">
      <c r="D12" s="1">
        <v>0.12</v>
      </c>
    </row>
    <row r="13" spans="1:4" x14ac:dyDescent="0.25">
      <c r="D13" s="1">
        <v>0.09</v>
      </c>
    </row>
    <row r="14" spans="1:4" x14ac:dyDescent="0.25">
      <c r="D14" s="1">
        <v>0.18</v>
      </c>
    </row>
    <row r="15" spans="1:4" x14ac:dyDescent="0.25">
      <c r="D15" s="1">
        <v>0.14000000000000001</v>
      </c>
    </row>
    <row r="16" spans="1:4" x14ac:dyDescent="0.25">
      <c r="D16" s="1"/>
    </row>
    <row r="17" spans="4:4" x14ac:dyDescent="0.25">
      <c r="D17" s="1">
        <v>0.28000000000000003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4" sqref="D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CGST</vt:lpstr>
      <vt:lpstr>GST</vt:lpstr>
      <vt:lpstr>Sheet1!Print_Area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2020-12-24T16:57:49Z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804fcc72-936a-46e5-af17-37a50baa9b23</vt:lpwstr>
  </property>
</Properties>
</file>